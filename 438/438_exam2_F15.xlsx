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1106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F14" i="1"/>
  <c r="E14" i="1"/>
  <c r="F13" i="1"/>
  <c r="E13" i="1"/>
  <c r="F12" i="1"/>
  <c r="E12" i="1"/>
  <c r="F11" i="1"/>
  <c r="E11" i="1"/>
  <c r="F10" i="1"/>
  <c r="E10" i="1"/>
  <c r="J8" i="1"/>
  <c r="J7" i="1"/>
  <c r="J6" i="1"/>
  <c r="J5" i="1"/>
  <c r="E5" i="1"/>
  <c r="E6" i="1"/>
  <c r="E16" i="1"/>
  <c r="F16" i="1"/>
  <c r="F5" i="1"/>
</calcChain>
</file>

<file path=xl/sharedStrings.xml><?xml version="1.0" encoding="utf-8"?>
<sst xmlns="http://schemas.openxmlformats.org/spreadsheetml/2006/main" count="19" uniqueCount="11">
  <si>
    <t>Mean</t>
  </si>
  <si>
    <t>Std. Dev.</t>
  </si>
  <si>
    <t>A</t>
  </si>
  <si>
    <t>B</t>
  </si>
  <si>
    <t>C</t>
  </si>
  <si>
    <t>D</t>
  </si>
  <si>
    <t>F</t>
  </si>
  <si>
    <t>Curve</t>
  </si>
  <si>
    <t>Raw</t>
  </si>
  <si>
    <t>Curved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</si>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</sst>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Raw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Sheet1!$D$10:$D$14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Sheet1!$E$10:$E$14</c:f>
              <c:numCache>
                <c:formatCode>General</c:formatCode>
                <c:ptCount val="5"/>
                <c:pt idx="0">
                  <c:v>4.0</c:v>
                </c:pt>
                <c:pt idx="1">
                  <c:v>7.0</c:v>
                </c:pt>
                <c:pt idx="2">
                  <c:v>4.0</c:v>
                </c:pt>
                <c:pt idx="3">
                  <c:v>4.0</c:v>
                </c:pt>
                <c:pt idx="4">
                  <c:v>3.0</c:v>
                </c:pt>
              </c:numCache>
            </c:numRef>
          </c:val>
        </c:ser>
        <c:ser>
          <c:idx val="1"/>
          <c:order val="1"/>
          <c:tx>
            <c:strRef>
              <c:f>Sheet1!$F$9</c:f>
              <c:strCache>
                <c:ptCount val="1"/>
                <c:pt idx="0">
                  <c:v>Curved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Sheet1!$D$10:$D$14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Sheet1!$F$10:$F$14</c:f>
              <c:numCache>
                <c:formatCode>General</c:formatCode>
                <c:ptCount val="5"/>
                <c:pt idx="0">
                  <c:v>7.0</c:v>
                </c:pt>
                <c:pt idx="1">
                  <c:v>4.0</c:v>
                </c:pt>
                <c:pt idx="2">
                  <c:v>6.0</c:v>
                </c:pt>
                <c:pt idx="3">
                  <c:v>3.0</c:v>
                </c:pt>
                <c:pt idx="4">
                  <c:v>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9672040"/>
        <c:axId val="2099675016"/>
      </c:barChart>
      <c:catAx>
        <c:axId val="20996720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675016"/>
        <c:crosses val="autoZero"/>
        <c:auto val="1"/>
        <c:lblAlgn val="ctr"/>
        <c:lblOffset val="100"/>
        <c:noMultiLvlLbl val="0"/>
      </c:catAx>
      <c:valAx>
        <c:axId val="20996750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2099672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9</xdr:row>
      <xdr:rowOff>139700</xdr:rowOff>
    </xdr:from>
    <xdr:to>
      <xdr:col>12</xdr:col>
      <xdr:colOff>215900</xdr:colOff>
      <xdr:row>23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E3" sqref="E3"/>
    </sheetView>
  </sheetViews>
  <sheetFormatPr baseColWidth="10" defaultRowHeight="16" x14ac:dyDescent="0"/>
  <sheetData>
    <row r="1" spans="1:10">
      <c r="A1" t="s">
        <v>8</v>
      </c>
      <c r="B1" t="s">
        <v>9</v>
      </c>
    </row>
    <row r="2" spans="1:10">
      <c r="A2">
        <v>75</v>
      </c>
      <c r="B2">
        <f>A2+$E$2</f>
        <v>77</v>
      </c>
      <c r="D2" t="s">
        <v>7</v>
      </c>
      <c r="E2">
        <v>2</v>
      </c>
    </row>
    <row r="3" spans="1:10">
      <c r="A3">
        <v>72</v>
      </c>
      <c r="B3">
        <f>A3+$E$2</f>
        <v>74</v>
      </c>
    </row>
    <row r="4" spans="1:10">
      <c r="A4">
        <v>69</v>
      </c>
      <c r="B4">
        <f>A4+$E$2</f>
        <v>71</v>
      </c>
      <c r="E4" t="s">
        <v>8</v>
      </c>
      <c r="F4" t="s">
        <v>9</v>
      </c>
    </row>
    <row r="5" spans="1:10">
      <c r="A5">
        <v>68</v>
      </c>
      <c r="B5">
        <f>A5+$E$2</f>
        <v>70</v>
      </c>
      <c r="D5" t="s">
        <v>0</v>
      </c>
      <c r="E5">
        <f>AVERAGE(A2:A94)</f>
        <v>57.863636363636367</v>
      </c>
      <c r="F5">
        <f>AVERAGE(B2:B94)</f>
        <v>59.863636363636367</v>
      </c>
      <c r="I5" t="s">
        <v>2</v>
      </c>
      <c r="J5">
        <f>75*0.9</f>
        <v>67.5</v>
      </c>
    </row>
    <row r="6" spans="1:10">
      <c r="A6">
        <v>67</v>
      </c>
      <c r="B6">
        <f>A6+$E$2</f>
        <v>69</v>
      </c>
      <c r="D6" t="s">
        <v>1</v>
      </c>
      <c r="E6">
        <f>STDEV(A2:A94)</f>
        <v>11.917555895742156</v>
      </c>
      <c r="I6" t="s">
        <v>3</v>
      </c>
      <c r="J6">
        <f>75*0.8</f>
        <v>60</v>
      </c>
    </row>
    <row r="7" spans="1:10">
      <c r="A7">
        <v>67</v>
      </c>
      <c r="B7">
        <f>A7+$E$2</f>
        <v>69</v>
      </c>
      <c r="I7" t="s">
        <v>4</v>
      </c>
      <c r="J7">
        <f>75*0.7</f>
        <v>52.5</v>
      </c>
    </row>
    <row r="8" spans="1:10">
      <c r="A8">
        <v>67</v>
      </c>
      <c r="B8">
        <f>A8+$E$2</f>
        <v>69</v>
      </c>
      <c r="I8" t="s">
        <v>5</v>
      </c>
      <c r="J8">
        <f>75*0.6</f>
        <v>45</v>
      </c>
    </row>
    <row r="9" spans="1:10">
      <c r="A9">
        <v>64</v>
      </c>
      <c r="B9">
        <f>A9+$E$2</f>
        <v>66</v>
      </c>
      <c r="E9" t="s">
        <v>8</v>
      </c>
      <c r="F9" t="s">
        <v>9</v>
      </c>
    </row>
    <row r="10" spans="1:10">
      <c r="A10">
        <v>64</v>
      </c>
      <c r="B10">
        <f>A10+$E$2</f>
        <v>66</v>
      </c>
      <c r="D10" t="s">
        <v>2</v>
      </c>
      <c r="E10">
        <f>COUNTIF($A$2:$A$94,"&gt;=67.5")</f>
        <v>4</v>
      </c>
      <c r="F10">
        <f>COUNTIF($B$2:$B$94,"&gt;=67.5")</f>
        <v>7</v>
      </c>
    </row>
    <row r="11" spans="1:10">
      <c r="A11">
        <v>63</v>
      </c>
      <c r="B11">
        <f>A11+$E$2</f>
        <v>65</v>
      </c>
      <c r="D11" t="s">
        <v>3</v>
      </c>
      <c r="E11">
        <f>COUNTIF($A$2:$A$94,"&gt;=60") - COUNTIF($A$2:$A$94,"&gt;=67.5")</f>
        <v>7</v>
      </c>
      <c r="F11">
        <f>COUNTIF($B$2:$B$94,"&gt;=60") - COUNTIF($B$2:$B$94,"&gt;=67.5")</f>
        <v>4</v>
      </c>
    </row>
    <row r="12" spans="1:10">
      <c r="A12">
        <v>63</v>
      </c>
      <c r="B12">
        <f>A12+$E$2</f>
        <v>65</v>
      </c>
      <c r="D12" t="s">
        <v>4</v>
      </c>
      <c r="E12">
        <f>COUNTIF($A$2:$A$94,"&gt;=52.5") - COUNTIF($A$2:$A$94,"&gt;=60")</f>
        <v>4</v>
      </c>
      <c r="F12">
        <f>COUNTIF($B$2:$B$94,"&gt;=52.5") - COUNTIF($B$2:$B$94,"&gt;=60")</f>
        <v>6</v>
      </c>
    </row>
    <row r="13" spans="1:10">
      <c r="A13">
        <v>57</v>
      </c>
      <c r="B13">
        <f>A13+$E$2</f>
        <v>59</v>
      </c>
      <c r="D13" t="s">
        <v>5</v>
      </c>
      <c r="E13">
        <f>COUNTIF($A$2:$A$94,"&gt;=45") - COUNTIF($A$2:$A$94,"&gt;=52.5")</f>
        <v>4</v>
      </c>
      <c r="F13">
        <f>COUNTIF($B$2:$B$94,"&gt;=45") - COUNTIF($B$2:$B$94,"&gt;=52.5")</f>
        <v>3</v>
      </c>
    </row>
    <row r="14" spans="1:10">
      <c r="A14">
        <v>57</v>
      </c>
      <c r="B14">
        <f>A14+$E$2</f>
        <v>59</v>
      </c>
      <c r="D14" t="s">
        <v>6</v>
      </c>
      <c r="E14">
        <f>COUNTIF($A$2:$A$94,"&lt;45")</f>
        <v>3</v>
      </c>
      <c r="F14">
        <f>COUNTIF($B$2:$B$94,"&lt;45")</f>
        <v>2</v>
      </c>
    </row>
    <row r="15" spans="1:10">
      <c r="A15">
        <v>56</v>
      </c>
      <c r="B15">
        <f>A15+$E$2</f>
        <v>58</v>
      </c>
    </row>
    <row r="16" spans="1:10">
      <c r="A16">
        <v>56</v>
      </c>
      <c r="B16">
        <f>A16+$E$2</f>
        <v>58</v>
      </c>
      <c r="D16" t="s">
        <v>10</v>
      </c>
      <c r="E16">
        <f>SUM(E10:E14)</f>
        <v>22</v>
      </c>
      <c r="F16">
        <f>SUM(F10:F14)</f>
        <v>22</v>
      </c>
    </row>
    <row r="17" spans="1:2">
      <c r="A17">
        <v>52</v>
      </c>
      <c r="B17">
        <f>A17+$E$2</f>
        <v>54</v>
      </c>
    </row>
    <row r="18" spans="1:2">
      <c r="A18">
        <v>52</v>
      </c>
      <c r="B18">
        <f>A18+$E$2</f>
        <v>54</v>
      </c>
    </row>
    <row r="19" spans="1:2">
      <c r="A19">
        <v>50</v>
      </c>
      <c r="B19">
        <f>A19+$E$2</f>
        <v>52</v>
      </c>
    </row>
    <row r="20" spans="1:2">
      <c r="A20">
        <v>49</v>
      </c>
      <c r="B20">
        <f>A20+$E$2</f>
        <v>51</v>
      </c>
    </row>
    <row r="21" spans="1:2">
      <c r="A21">
        <v>43</v>
      </c>
      <c r="B21">
        <f>A21+$E$2</f>
        <v>45</v>
      </c>
    </row>
    <row r="22" spans="1:2">
      <c r="A22">
        <v>32</v>
      </c>
      <c r="B22">
        <f>A22+$E$2</f>
        <v>34</v>
      </c>
    </row>
    <row r="23" spans="1:2">
      <c r="A23">
        <v>30</v>
      </c>
      <c r="B23">
        <f>A23+$E$2</f>
        <v>32</v>
      </c>
    </row>
  </sheetData>
  <sortState ref="A2:B23">
    <sortCondition descending="1" ref="A2:A23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Michael S Taylor</cp:lastModifiedBy>
  <dcterms:created xsi:type="dcterms:W3CDTF">2014-09-26T13:19:01Z</dcterms:created>
  <dcterms:modified xsi:type="dcterms:W3CDTF">2015-12-07T13:29:08Z</dcterms:modified>
</cp:coreProperties>
</file>