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3340" yWindow="0" windowWidth="21040" windowHeight="21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4" i="1" l="1"/>
  <c r="F13" i="1"/>
  <c r="F12" i="1"/>
  <c r="F11" i="1"/>
  <c r="F10" i="1"/>
  <c r="J8" i="1"/>
  <c r="J7" i="1"/>
  <c r="J6" i="1"/>
  <c r="J5" i="1"/>
  <c r="E14" i="1"/>
  <c r="E13" i="1"/>
  <c r="E12" i="1"/>
  <c r="E11" i="1"/>
  <c r="E10" i="1"/>
  <c r="B22" i="1"/>
  <c r="B23" i="1"/>
  <c r="B24" i="1"/>
  <c r="B3" i="1"/>
  <c r="B25" i="1"/>
  <c r="B16" i="1"/>
  <c r="B8" i="1"/>
  <c r="B26" i="1"/>
  <c r="B4" i="1"/>
  <c r="B9" i="1"/>
  <c r="B17" i="1"/>
  <c r="B5" i="1"/>
  <c r="B11" i="1"/>
  <c r="B12" i="1"/>
  <c r="B2" i="1"/>
  <c r="B6" i="1"/>
  <c r="B13" i="1"/>
  <c r="B10" i="1"/>
  <c r="B18" i="1"/>
  <c r="B19" i="1"/>
  <c r="B20" i="1"/>
  <c r="B15" i="1"/>
  <c r="B14" i="1"/>
  <c r="B27" i="1"/>
  <c r="B21" i="1"/>
  <c r="B7" i="1"/>
  <c r="F16" i="1"/>
  <c r="E16" i="1"/>
  <c r="F5" i="1"/>
  <c r="E6" i="1"/>
  <c r="E5" i="1"/>
</calcChain>
</file>

<file path=xl/sharedStrings.xml><?xml version="1.0" encoding="utf-8"?>
<sst xmlns="http://schemas.openxmlformats.org/spreadsheetml/2006/main" count="20" uniqueCount="12">
  <si>
    <t>Mean</t>
  </si>
  <si>
    <t>Std. Dev.</t>
  </si>
  <si>
    <t>A</t>
  </si>
  <si>
    <t>B</t>
  </si>
  <si>
    <t>C</t>
  </si>
  <si>
    <t>D</t>
  </si>
  <si>
    <t>F</t>
  </si>
  <si>
    <t>Curve</t>
  </si>
  <si>
    <t>Raw</t>
  </si>
  <si>
    <t>Curved</t>
  </si>
  <si>
    <t>Total</t>
  </si>
  <si>
    <t>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</si>
</sst>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theme="1"/>
      <name val="Times New Roman"/>
      <family val="2"/>
    </font>
    <font>
      <u/>
      <sz val="14"/>
      <color theme="10"/>
      <name val="Times New Roman"/>
      <family val="2"/>
    </font>
    <font>
      <u/>
      <sz val="14"/>
      <color theme="1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Sheet1!$E$9</c:f>
              <c:strCache>
                <c:ptCount val="1"/>
                <c:pt idx="0">
                  <c:v>Raw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Sheet1!$D$10:$D$14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Sheet1!$E$10:$E$14</c:f>
              <c:numCache>
                <c:formatCode>General</c:formatCode>
                <c:ptCount val="5"/>
                <c:pt idx="0">
                  <c:v>6.0</c:v>
                </c:pt>
                <c:pt idx="1">
                  <c:v>8.0</c:v>
                </c:pt>
                <c:pt idx="2">
                  <c:v>5.0</c:v>
                </c:pt>
                <c:pt idx="3">
                  <c:v>3.0</c:v>
                </c:pt>
                <c:pt idx="4">
                  <c:v>4.0</c:v>
                </c:pt>
              </c:numCache>
            </c:numRef>
          </c:val>
        </c:ser>
        <c:ser>
          <c:idx val="1"/>
          <c:order val="1"/>
          <c:tx>
            <c:strRef>
              <c:f>Sheet1!$F$9</c:f>
              <c:strCache>
                <c:ptCount val="1"/>
                <c:pt idx="0">
                  <c:v>Curved</c:v>
                </c:pt>
              </c:strCache>
            </c:strRef>
          </c:tx>
          <c:spPr>
            <a:solidFill>
              <a:schemeClr val="tx1"/>
            </a:solidFill>
            <a:ln>
              <a:solidFill>
                <a:schemeClr val="tx1"/>
              </a:solidFill>
            </a:ln>
          </c:spPr>
          <c:invertIfNegative val="0"/>
          <c:cat>
            <c:strRef>
              <c:f>Sheet1!$D$10:$D$14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Sheet1!$F$10:$F$14</c:f>
              <c:numCache>
                <c:formatCode>General</c:formatCode>
                <c:ptCount val="5"/>
                <c:pt idx="0">
                  <c:v>6.0</c:v>
                </c:pt>
                <c:pt idx="1">
                  <c:v>8.0</c:v>
                </c:pt>
                <c:pt idx="2">
                  <c:v>5.0</c:v>
                </c:pt>
                <c:pt idx="3">
                  <c:v>3.0</c:v>
                </c:pt>
                <c:pt idx="4">
                  <c:v>4.0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3542760"/>
        <c:axId val="2133548984"/>
      </c:barChart>
      <c:catAx>
        <c:axId val="2133542760"/>
        <c:scaling>
          <c:orientation val="minMax"/>
        </c:scaling>
        <c:delete val="0"/>
        <c:axPos val="b"/>
        <c:majorTickMark val="out"/>
        <c:minorTickMark val="none"/>
        <c:tickLblPos val="nextTo"/>
        <c:crossAx val="2133548984"/>
        <c:crosses val="autoZero"/>
        <c:auto val="1"/>
        <c:lblAlgn val="ctr"/>
        <c:lblOffset val="100"/>
        <c:noMultiLvlLbl val="0"/>
      </c:catAx>
      <c:valAx>
        <c:axId val="213354898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213354276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9</xdr:row>
      <xdr:rowOff>139700</xdr:rowOff>
    </xdr:from>
    <xdr:to>
      <xdr:col>12</xdr:col>
      <xdr:colOff>215900</xdr:colOff>
      <xdr:row>23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tabSelected="1" workbookViewId="0">
      <selection activeCell="F10" sqref="F10"/>
    </sheetView>
  </sheetViews>
  <sheetFormatPr baseColWidth="10" defaultRowHeight="16" x14ac:dyDescent="0"/>
  <sheetData>
    <row r="1" spans="1:10">
      <c r="A1" t="s">
        <v>8</v>
      </c>
      <c r="B1" t="s">
        <v>9</v>
      </c>
    </row>
    <row r="2" spans="1:10">
      <c r="A2">
        <v>29</v>
      </c>
      <c r="B2">
        <f t="shared" ref="B2:B33" si="0">A2+$E$2</f>
        <v>29</v>
      </c>
      <c r="D2" t="s">
        <v>7</v>
      </c>
      <c r="E2">
        <v>0</v>
      </c>
    </row>
    <row r="3" spans="1:10">
      <c r="A3">
        <v>27</v>
      </c>
      <c r="B3">
        <f t="shared" si="0"/>
        <v>27</v>
      </c>
    </row>
    <row r="4" spans="1:10">
      <c r="A4">
        <v>31</v>
      </c>
      <c r="B4">
        <f t="shared" si="0"/>
        <v>31</v>
      </c>
      <c r="E4" t="s">
        <v>8</v>
      </c>
      <c r="F4" t="s">
        <v>9</v>
      </c>
      <c r="I4" t="s">
        <v>11</v>
      </c>
      <c r="J4">
        <v>50</v>
      </c>
    </row>
    <row r="5" spans="1:10">
      <c r="A5">
        <v>38</v>
      </c>
      <c r="B5">
        <f t="shared" si="0"/>
        <v>38</v>
      </c>
      <c r="D5" t="s">
        <v>0</v>
      </c>
      <c r="E5">
        <f>AVERAGE(A2:A94)</f>
        <v>38.153846153846153</v>
      </c>
      <c r="F5">
        <f>AVERAGE(B2:B94)</f>
        <v>38.153846153846153</v>
      </c>
      <c r="I5" t="s">
        <v>2</v>
      </c>
      <c r="J5">
        <f>J4*0.9</f>
        <v>45</v>
      </c>
    </row>
    <row r="6" spans="1:10">
      <c r="A6">
        <v>31</v>
      </c>
      <c r="B6">
        <f t="shared" si="0"/>
        <v>31</v>
      </c>
      <c r="D6" t="s">
        <v>1</v>
      </c>
      <c r="E6">
        <f>STDEV(A2:A94)</f>
        <v>6.6614851658909124</v>
      </c>
      <c r="I6" t="s">
        <v>3</v>
      </c>
      <c r="J6">
        <f>J4*0.8</f>
        <v>40</v>
      </c>
    </row>
    <row r="7" spans="1:10">
      <c r="A7">
        <v>43</v>
      </c>
      <c r="B7">
        <f t="shared" si="0"/>
        <v>43</v>
      </c>
      <c r="I7" t="s">
        <v>4</v>
      </c>
      <c r="J7">
        <f>J4*0.7</f>
        <v>35</v>
      </c>
    </row>
    <row r="8" spans="1:10">
      <c r="A8">
        <v>46</v>
      </c>
      <c r="B8">
        <f t="shared" si="0"/>
        <v>46</v>
      </c>
      <c r="I8" t="s">
        <v>5</v>
      </c>
      <c r="J8">
        <f>J4*0.6</f>
        <v>30</v>
      </c>
    </row>
    <row r="9" spans="1:10">
      <c r="A9">
        <v>35</v>
      </c>
      <c r="B9">
        <f t="shared" si="0"/>
        <v>35</v>
      </c>
      <c r="E9" t="s">
        <v>8</v>
      </c>
      <c r="F9" t="s">
        <v>9</v>
      </c>
    </row>
    <row r="10" spans="1:10">
      <c r="A10">
        <v>43</v>
      </c>
      <c r="B10">
        <f t="shared" si="0"/>
        <v>43</v>
      </c>
      <c r="D10" t="s">
        <v>2</v>
      </c>
      <c r="E10">
        <f>COUNTIF($A$2:$A$94,"&gt;=45")</f>
        <v>6</v>
      </c>
      <c r="F10">
        <f>COUNTIF($B$2:$B$94,"&gt;=45")</f>
        <v>6</v>
      </c>
    </row>
    <row r="11" spans="1:10">
      <c r="A11">
        <v>42</v>
      </c>
      <c r="B11">
        <f t="shared" si="0"/>
        <v>42</v>
      </c>
      <c r="D11" t="s">
        <v>3</v>
      </c>
      <c r="E11">
        <f>COUNTIF($A$2:$A$94,"&gt;=40") - COUNTIF($A$2:$A$94,"&gt;=45")</f>
        <v>8</v>
      </c>
      <c r="F11">
        <f>COUNTIF($B$2:$B$94,"&gt;=40") - COUNTIF($B$2:$B$94,"&gt;=45")</f>
        <v>8</v>
      </c>
    </row>
    <row r="12" spans="1:10">
      <c r="A12">
        <v>29</v>
      </c>
      <c r="B12">
        <f t="shared" si="0"/>
        <v>29</v>
      </c>
      <c r="D12" t="s">
        <v>4</v>
      </c>
      <c r="E12">
        <f>COUNTIF($A$2:$A$94,"&gt;=35") - COUNTIF($A$2:$A$94,"&gt;=40")</f>
        <v>5</v>
      </c>
      <c r="F12">
        <f>COUNTIF($B$2:$B$94,"&gt;=35") - COUNTIF($B$2:$B$94,"&gt;=40")</f>
        <v>5</v>
      </c>
    </row>
    <row r="13" spans="1:10">
      <c r="A13">
        <v>45</v>
      </c>
      <c r="B13">
        <f t="shared" si="0"/>
        <v>45</v>
      </c>
      <c r="D13" t="s">
        <v>5</v>
      </c>
      <c r="E13">
        <f>COUNTIF($A$2:$A$94,"&gt;=30") - COUNTIF($A$2:$A$94,"&gt;=35")</f>
        <v>3</v>
      </c>
      <c r="F13">
        <f>COUNTIF($B$2:$B$94,"&gt;=30") - COUNTIF($B$2:$B$94,"&gt;=35")</f>
        <v>3</v>
      </c>
    </row>
    <row r="14" spans="1:10">
      <c r="A14">
        <v>40</v>
      </c>
      <c r="B14">
        <f t="shared" si="0"/>
        <v>40</v>
      </c>
      <c r="D14" t="s">
        <v>6</v>
      </c>
      <c r="E14">
        <f>COUNTIF($A$2:$A$94,"&lt;30")</f>
        <v>4</v>
      </c>
      <c r="F14">
        <f>COUNTIF($B$2:$B$94,"&lt;30")</f>
        <v>4</v>
      </c>
    </row>
    <row r="15" spans="1:10">
      <c r="A15">
        <v>33</v>
      </c>
      <c r="B15">
        <f t="shared" si="0"/>
        <v>33</v>
      </c>
    </row>
    <row r="16" spans="1:10">
      <c r="A16">
        <v>45</v>
      </c>
      <c r="B16">
        <f t="shared" si="0"/>
        <v>45</v>
      </c>
      <c r="D16" t="s">
        <v>10</v>
      </c>
      <c r="E16">
        <f>SUM(E10:E14)</f>
        <v>26</v>
      </c>
      <c r="F16">
        <f>SUM(F10:F14)</f>
        <v>26</v>
      </c>
    </row>
    <row r="17" spans="1:2">
      <c r="A17">
        <v>39</v>
      </c>
      <c r="B17">
        <f t="shared" si="0"/>
        <v>39</v>
      </c>
    </row>
    <row r="18" spans="1:2">
      <c r="A18">
        <v>43</v>
      </c>
      <c r="B18">
        <f t="shared" si="0"/>
        <v>43</v>
      </c>
    </row>
    <row r="19" spans="1:2">
      <c r="A19">
        <v>23</v>
      </c>
      <c r="B19">
        <f t="shared" si="0"/>
        <v>23</v>
      </c>
    </row>
    <row r="20" spans="1:2">
      <c r="A20">
        <v>45</v>
      </c>
      <c r="B20">
        <f t="shared" si="0"/>
        <v>45</v>
      </c>
    </row>
    <row r="21" spans="1:2">
      <c r="A21">
        <v>46</v>
      </c>
      <c r="B21">
        <f t="shared" si="0"/>
        <v>46</v>
      </c>
    </row>
    <row r="22" spans="1:2">
      <c r="A22">
        <v>40</v>
      </c>
      <c r="B22">
        <f t="shared" si="0"/>
        <v>40</v>
      </c>
    </row>
    <row r="23" spans="1:2">
      <c r="A23">
        <v>41</v>
      </c>
      <c r="B23">
        <f t="shared" si="0"/>
        <v>41</v>
      </c>
    </row>
    <row r="24" spans="1:2">
      <c r="A24">
        <v>46</v>
      </c>
      <c r="B24">
        <f t="shared" si="0"/>
        <v>46</v>
      </c>
    </row>
    <row r="25" spans="1:2">
      <c r="A25">
        <v>36</v>
      </c>
      <c r="B25">
        <f t="shared" si="0"/>
        <v>36</v>
      </c>
    </row>
    <row r="26" spans="1:2">
      <c r="A26">
        <v>41</v>
      </c>
      <c r="B26">
        <f t="shared" si="0"/>
        <v>41</v>
      </c>
    </row>
    <row r="27" spans="1:2">
      <c r="A27">
        <v>35</v>
      </c>
      <c r="B27">
        <f t="shared" si="0"/>
        <v>35</v>
      </c>
    </row>
  </sheetData>
  <sortState ref="A2:B81">
    <sortCondition descending="1" ref="A2:A81"/>
  </sortState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Southeast Missouri State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 Taylor</dc:creator>
  <cp:lastModifiedBy>Michael S Taylor</cp:lastModifiedBy>
  <dcterms:created xsi:type="dcterms:W3CDTF">2014-09-26T13:19:01Z</dcterms:created>
  <dcterms:modified xsi:type="dcterms:W3CDTF">2015-09-28T13:36:59Z</dcterms:modified>
</cp:coreProperties>
</file>