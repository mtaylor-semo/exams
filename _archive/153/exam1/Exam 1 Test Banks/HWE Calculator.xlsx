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-40" yWindow="760" windowWidth="25600" windowHeight="18380" tabRatio="500"/>
  </bookViews>
  <sheets>
    <sheet name="flower colors" sheetId="1" r:id="rId1"/>
    <sheet name="flies adh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2" l="1"/>
  <c r="F18" i="2"/>
  <c r="F19" i="2"/>
  <c r="F21" i="2"/>
  <c r="D18" i="2"/>
  <c r="D19" i="2"/>
  <c r="D20" i="2"/>
  <c r="D21" i="2"/>
  <c r="B14" i="2"/>
  <c r="C18" i="2"/>
  <c r="C19" i="2"/>
  <c r="C20" i="2"/>
  <c r="C21" i="2"/>
  <c r="B6" i="2"/>
  <c r="F3" i="2"/>
  <c r="F4" i="2"/>
  <c r="F6" i="2"/>
  <c r="D3" i="2"/>
  <c r="D4" i="2"/>
  <c r="D5" i="2"/>
  <c r="D6" i="2"/>
  <c r="C3" i="2"/>
  <c r="C4" i="2"/>
  <c r="C5" i="2"/>
  <c r="C6" i="2"/>
  <c r="F11" i="2"/>
  <c r="D11" i="2"/>
  <c r="F12" i="2"/>
  <c r="D12" i="2"/>
  <c r="D13" i="2"/>
  <c r="D14" i="2"/>
  <c r="F14" i="2"/>
  <c r="C11" i="2"/>
  <c r="C12" i="2"/>
  <c r="C13" i="2"/>
  <c r="C14" i="2"/>
  <c r="B21" i="1"/>
  <c r="C20" i="1"/>
  <c r="C19" i="1"/>
  <c r="C18" i="1"/>
  <c r="E18" i="1"/>
  <c r="E19" i="1"/>
  <c r="E21" i="1"/>
  <c r="C21" i="1"/>
  <c r="B14" i="1"/>
  <c r="C13" i="1"/>
  <c r="C12" i="1"/>
  <c r="C11" i="1"/>
  <c r="E11" i="1"/>
  <c r="E12" i="1"/>
  <c r="E14" i="1"/>
  <c r="C14" i="1"/>
  <c r="E6" i="1"/>
  <c r="E4" i="1"/>
  <c r="E3" i="1"/>
  <c r="C6" i="1"/>
  <c r="C5" i="1"/>
  <c r="C4" i="1"/>
  <c r="C3" i="1"/>
  <c r="B6" i="1"/>
</calcChain>
</file>

<file path=xl/sharedStrings.xml><?xml version="1.0" encoding="utf-8"?>
<sst xmlns="http://schemas.openxmlformats.org/spreadsheetml/2006/main" count="65" uniqueCount="24">
  <si>
    <t>RR</t>
  </si>
  <si>
    <t>Rr</t>
  </si>
  <si>
    <t>rr</t>
  </si>
  <si>
    <t>Total</t>
  </si>
  <si>
    <t>N</t>
  </si>
  <si>
    <t>GenoFreq</t>
  </si>
  <si>
    <t>Allele</t>
  </si>
  <si>
    <t>R</t>
  </si>
  <si>
    <t>r</t>
  </si>
  <si>
    <t>Flower Colors</t>
  </si>
  <si>
    <t>Directional</t>
  </si>
  <si>
    <t>Stabilizing</t>
  </si>
  <si>
    <t>Disruptive</t>
  </si>
  <si>
    <t>Fly adh</t>
  </si>
  <si>
    <t>FF</t>
  </si>
  <si>
    <t>FS</t>
  </si>
  <si>
    <t>SS</t>
  </si>
  <si>
    <t>Stabilizing A</t>
  </si>
  <si>
    <t>F</t>
  </si>
  <si>
    <t>S</t>
  </si>
  <si>
    <t>Obs. GenoFreq</t>
  </si>
  <si>
    <t>Exp. Geno Fre</t>
  </si>
  <si>
    <t>Stabilizing B</t>
  </si>
  <si>
    <t>Stabilizing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</si>
</sst>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4"/>
      <color theme="1"/>
      <name val="Times New Roman"/>
      <family val="2"/>
    </font>
    <font>
      <b/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C20" sqref="C20"/>
    </sheetView>
  </sheetViews>
  <sheetFormatPr baseColWidth="10" defaultRowHeight="16" x14ac:dyDescent="0"/>
  <sheetData>
    <row r="1" spans="1:5">
      <c r="A1" t="s">
        <v>9</v>
      </c>
    </row>
    <row r="2" spans="1:5">
      <c r="A2" s="1" t="s">
        <v>10</v>
      </c>
      <c r="B2" t="s">
        <v>4</v>
      </c>
      <c r="C2" t="s">
        <v>5</v>
      </c>
      <c r="D2" t="s">
        <v>6</v>
      </c>
    </row>
    <row r="3" spans="1:5">
      <c r="A3" t="s">
        <v>0</v>
      </c>
      <c r="B3">
        <v>181</v>
      </c>
      <c r="C3">
        <f>B3/$B$6</f>
        <v>0.68821292775665399</v>
      </c>
      <c r="D3" t="s">
        <v>7</v>
      </c>
      <c r="E3">
        <f>((B3*2)+B4)/(B6*2)</f>
        <v>0.82509505703422048</v>
      </c>
    </row>
    <row r="4" spans="1:5">
      <c r="A4" t="s">
        <v>1</v>
      </c>
      <c r="B4">
        <v>72</v>
      </c>
      <c r="C4">
        <f>B4/$B$6</f>
        <v>0.27376425855513309</v>
      </c>
      <c r="D4" t="s">
        <v>8</v>
      </c>
      <c r="E4">
        <f>((B5*2)+B4)/(B6*2)</f>
        <v>0.17490494296577946</v>
      </c>
    </row>
    <row r="5" spans="1:5">
      <c r="A5" t="s">
        <v>2</v>
      </c>
      <c r="B5">
        <v>10</v>
      </c>
      <c r="C5">
        <f>B5/$B$6</f>
        <v>3.8022813688212927E-2</v>
      </c>
    </row>
    <row r="6" spans="1:5">
      <c r="A6" t="s">
        <v>3</v>
      </c>
      <c r="B6">
        <f>SUM(B3:B5)</f>
        <v>263</v>
      </c>
      <c r="C6">
        <f>SUM(C3:C5)</f>
        <v>1</v>
      </c>
      <c r="E6">
        <f>SUM(E3:E4)</f>
        <v>1</v>
      </c>
    </row>
    <row r="10" spans="1:5">
      <c r="A10" s="1" t="s">
        <v>11</v>
      </c>
      <c r="B10" t="s">
        <v>4</v>
      </c>
      <c r="C10" t="s">
        <v>5</v>
      </c>
      <c r="D10" t="s">
        <v>6</v>
      </c>
    </row>
    <row r="11" spans="1:5">
      <c r="A11" t="s">
        <v>0</v>
      </c>
      <c r="B11">
        <v>42</v>
      </c>
      <c r="C11">
        <f>B11/$B$14</f>
        <v>0.16935483870967741</v>
      </c>
      <c r="D11" t="s">
        <v>7</v>
      </c>
      <c r="E11">
        <f>((B11*2)+B12)/(B14*2)</f>
        <v>0.52217741935483875</v>
      </c>
    </row>
    <row r="12" spans="1:5">
      <c r="A12" t="s">
        <v>1</v>
      </c>
      <c r="B12">
        <v>175</v>
      </c>
      <c r="C12">
        <f>B12/$B$14</f>
        <v>0.70564516129032262</v>
      </c>
      <c r="D12" t="s">
        <v>8</v>
      </c>
      <c r="E12">
        <f>((B13*2)+B12)/(B14*2)</f>
        <v>0.47782258064516131</v>
      </c>
    </row>
    <row r="13" spans="1:5">
      <c r="A13" t="s">
        <v>2</v>
      </c>
      <c r="B13">
        <v>31</v>
      </c>
      <c r="C13">
        <f>B13/$B$14</f>
        <v>0.125</v>
      </c>
    </row>
    <row r="14" spans="1:5">
      <c r="A14" t="s">
        <v>3</v>
      </c>
      <c r="B14">
        <f>SUM(B11:B13)</f>
        <v>248</v>
      </c>
      <c r="C14">
        <f>SUM(C11:C13)</f>
        <v>1</v>
      </c>
      <c r="E14">
        <f>SUM(E11:E12)</f>
        <v>1</v>
      </c>
    </row>
    <row r="17" spans="1:5">
      <c r="A17" s="1" t="s">
        <v>12</v>
      </c>
      <c r="B17" t="s">
        <v>4</v>
      </c>
      <c r="C17" t="s">
        <v>5</v>
      </c>
      <c r="D17" t="s">
        <v>6</v>
      </c>
    </row>
    <row r="18" spans="1:5">
      <c r="A18" t="s">
        <v>0</v>
      </c>
      <c r="B18">
        <v>107</v>
      </c>
      <c r="C18">
        <f>B18/$B$21</f>
        <v>0.42629482071713148</v>
      </c>
      <c r="D18" t="s">
        <v>7</v>
      </c>
      <c r="E18">
        <f>((B18*2)+B19)/(B21*2)</f>
        <v>0.49203187250996017</v>
      </c>
    </row>
    <row r="19" spans="1:5">
      <c r="A19" t="s">
        <v>1</v>
      </c>
      <c r="B19">
        <v>33</v>
      </c>
      <c r="C19">
        <f>B19/$B$21</f>
        <v>0.13147410358565736</v>
      </c>
      <c r="D19" t="s">
        <v>8</v>
      </c>
      <c r="E19">
        <f>((B20*2)+B19)/(B21*2)</f>
        <v>0.50796812749003983</v>
      </c>
    </row>
    <row r="20" spans="1:5">
      <c r="A20" t="s">
        <v>2</v>
      </c>
      <c r="B20">
        <v>111</v>
      </c>
      <c r="C20">
        <f>B20/$B$21</f>
        <v>0.44223107569721115</v>
      </c>
    </row>
    <row r="21" spans="1:5">
      <c r="A21" t="s">
        <v>3</v>
      </c>
      <c r="B21">
        <f>SUM(B18:B20)</f>
        <v>251</v>
      </c>
      <c r="C21">
        <f>SUM(C18:C20)</f>
        <v>1</v>
      </c>
      <c r="E21">
        <f>SUM(E18:E19)</f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21" sqref="B21"/>
    </sheetView>
  </sheetViews>
  <sheetFormatPr baseColWidth="10" defaultRowHeight="16" x14ac:dyDescent="0"/>
  <cols>
    <col min="1" max="1" width="12.5703125" customWidth="1"/>
    <col min="3" max="3" width="14.5703125" customWidth="1"/>
    <col min="4" max="4" width="18.42578125" customWidth="1"/>
  </cols>
  <sheetData>
    <row r="1" spans="1:6">
      <c r="A1" t="s">
        <v>13</v>
      </c>
    </row>
    <row r="2" spans="1:6">
      <c r="A2" s="1" t="s">
        <v>17</v>
      </c>
      <c r="B2" t="s">
        <v>4</v>
      </c>
      <c r="C2" t="s">
        <v>20</v>
      </c>
      <c r="D2" t="s">
        <v>21</v>
      </c>
      <c r="E2" t="s">
        <v>6</v>
      </c>
    </row>
    <row r="3" spans="1:6">
      <c r="A3" t="s">
        <v>14</v>
      </c>
      <c r="B3">
        <v>301</v>
      </c>
      <c r="C3" s="2">
        <f>B3/$B$14</f>
        <v>0.19381841596909208</v>
      </c>
      <c r="D3" s="2">
        <f>(F3^2)</f>
        <v>0.24138271314187817</v>
      </c>
      <c r="E3" t="s">
        <v>18</v>
      </c>
      <c r="F3" s="2">
        <f>((B3*2)+B4)/(B6*2)</f>
        <v>0.49130714745653575</v>
      </c>
    </row>
    <row r="4" spans="1:6">
      <c r="A4" t="s">
        <v>15</v>
      </c>
      <c r="B4">
        <v>924</v>
      </c>
      <c r="C4" s="2">
        <f>B4/$B$14</f>
        <v>0.59497746297488729</v>
      </c>
      <c r="D4" s="2">
        <f>2*F3*F4</f>
        <v>0.49984886862931521</v>
      </c>
      <c r="E4" t="s">
        <v>19</v>
      </c>
      <c r="F4" s="2">
        <f>((B5*2)+B4)/(B6*2)</f>
        <v>0.5086928525434643</v>
      </c>
    </row>
    <row r="5" spans="1:6">
      <c r="A5" t="s">
        <v>16</v>
      </c>
      <c r="B5">
        <v>328</v>
      </c>
      <c r="C5" s="2">
        <f>B5/$B$14</f>
        <v>0.2112041210560206</v>
      </c>
      <c r="D5" s="2">
        <f>F4^2</f>
        <v>0.2587684182288067</v>
      </c>
    </row>
    <row r="6" spans="1:6">
      <c r="A6" t="s">
        <v>3</v>
      </c>
      <c r="B6">
        <f>SUM(B3:B5)</f>
        <v>1553</v>
      </c>
      <c r="C6">
        <f>SUM(C3:C5)</f>
        <v>1</v>
      </c>
      <c r="D6">
        <f>SUM(D3:D5)</f>
        <v>1</v>
      </c>
      <c r="F6">
        <f>SUM(F3:F4)</f>
        <v>1</v>
      </c>
    </row>
    <row r="10" spans="1:6">
      <c r="A10" s="1" t="s">
        <v>22</v>
      </c>
      <c r="B10" t="s">
        <v>4</v>
      </c>
      <c r="C10" t="s">
        <v>20</v>
      </c>
      <c r="D10" t="s">
        <v>21</v>
      </c>
      <c r="E10" t="s">
        <v>6</v>
      </c>
    </row>
    <row r="11" spans="1:6">
      <c r="A11" t="s">
        <v>14</v>
      </c>
      <c r="B11">
        <v>126</v>
      </c>
      <c r="C11" s="2">
        <f>B11/$B$14</f>
        <v>8.1133290405666456E-2</v>
      </c>
      <c r="D11" s="2">
        <f>(F11^2)</f>
        <v>0.13542210432086454</v>
      </c>
      <c r="E11" t="s">
        <v>18</v>
      </c>
      <c r="F11" s="2">
        <f>((B11*2)+B12)/(B14*2)</f>
        <v>0.36799742433998711</v>
      </c>
    </row>
    <row r="12" spans="1:6">
      <c r="A12" t="s">
        <v>15</v>
      </c>
      <c r="B12">
        <v>891</v>
      </c>
      <c r="C12" s="2">
        <f>B12/$B$14</f>
        <v>0.57372826786864128</v>
      </c>
      <c r="D12" s="2">
        <f>2*F11*F12</f>
        <v>0.46515064003824508</v>
      </c>
      <c r="E12" t="s">
        <v>19</v>
      </c>
      <c r="F12" s="2">
        <f>((B13*2)+B12)/(B14*2)</f>
        <v>0.63200257566001283</v>
      </c>
    </row>
    <row r="13" spans="1:6">
      <c r="A13" t="s">
        <v>16</v>
      </c>
      <c r="B13">
        <v>536</v>
      </c>
      <c r="C13" s="2">
        <f>B13/$B$14</f>
        <v>0.34513844172569219</v>
      </c>
      <c r="D13" s="2">
        <f>F12^2</f>
        <v>0.39942725564089027</v>
      </c>
    </row>
    <row r="14" spans="1:6">
      <c r="A14" t="s">
        <v>3</v>
      </c>
      <c r="B14">
        <f>SUM(B11:B13)</f>
        <v>1553</v>
      </c>
      <c r="C14">
        <f>SUM(C11:C13)</f>
        <v>0.99999999999999989</v>
      </c>
      <c r="D14">
        <f>SUM(D11:D13)</f>
        <v>0.99999999999999978</v>
      </c>
      <c r="F14">
        <f>SUM(F11:F12)</f>
        <v>1</v>
      </c>
    </row>
    <row r="17" spans="1:6">
      <c r="A17" s="1" t="s">
        <v>23</v>
      </c>
      <c r="B17" t="s">
        <v>4</v>
      </c>
      <c r="C17" t="s">
        <v>20</v>
      </c>
      <c r="D17" t="s">
        <v>21</v>
      </c>
      <c r="E17" t="s">
        <v>6</v>
      </c>
    </row>
    <row r="18" spans="1:6">
      <c r="A18" t="s">
        <v>14</v>
      </c>
      <c r="B18">
        <v>498</v>
      </c>
      <c r="C18" s="2">
        <f>B18/$B$14</f>
        <v>0.32066967160334836</v>
      </c>
      <c r="D18" s="2">
        <f>(F18^2)</f>
        <v>0.32953366124763606</v>
      </c>
      <c r="E18" t="s">
        <v>18</v>
      </c>
      <c r="F18" s="2">
        <f>((B18*2)+B19)/(B21*2)</f>
        <v>0.57405022537025108</v>
      </c>
    </row>
    <row r="19" spans="1:6">
      <c r="A19" t="s">
        <v>15</v>
      </c>
      <c r="B19">
        <v>787</v>
      </c>
      <c r="C19" s="2">
        <f>B19/$B$14</f>
        <v>0.50676110753380554</v>
      </c>
      <c r="D19" s="2">
        <f>2*F18*F19</f>
        <v>0.48903312824522999</v>
      </c>
      <c r="E19" t="s">
        <v>19</v>
      </c>
      <c r="F19" s="2">
        <f>((B20*2)+B19)/(B21*2)</f>
        <v>0.42594977462974887</v>
      </c>
    </row>
    <row r="20" spans="1:6">
      <c r="A20" t="s">
        <v>16</v>
      </c>
      <c r="B20">
        <v>268</v>
      </c>
      <c r="C20" s="2">
        <f>B20/$B$14</f>
        <v>0.1725692208628461</v>
      </c>
      <c r="D20" s="2">
        <f>F19^2</f>
        <v>0.18143321050713385</v>
      </c>
    </row>
    <row r="21" spans="1:6">
      <c r="A21" t="s">
        <v>3</v>
      </c>
      <c r="B21">
        <f>SUM(B18:B20)</f>
        <v>1553</v>
      </c>
      <c r="C21">
        <f>SUM(C18:C20)</f>
        <v>1</v>
      </c>
      <c r="D21">
        <f>SUM(D18:D20)</f>
        <v>1</v>
      </c>
      <c r="F21">
        <f>SUM(F18:F19)</f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flower colors</vt:lpstr>
      <vt:lpstr>flies adh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2015-02-13T12:58:49Z</dcterms:created>
  <dcterms:modified xsi:type="dcterms:W3CDTF">2015-09-17T19:16:50Z</dcterms:modified>
</cp:coreProperties>
</file>