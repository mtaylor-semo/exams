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00" windowHeight="155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7" i="1" l="1"/>
  <c r="L2" i="1"/>
  <c r="L3" i="1"/>
  <c r="L4" i="1"/>
  <c r="L5" i="1"/>
  <c r="L7" i="1"/>
  <c r="F7" i="1"/>
  <c r="H2" i="1"/>
  <c r="H3" i="1"/>
  <c r="H4" i="1"/>
  <c r="H5" i="1"/>
  <c r="H7" i="1"/>
  <c r="B7" i="1"/>
  <c r="D2" i="1"/>
  <c r="D3" i="1"/>
  <c r="D4" i="1"/>
  <c r="D5" i="1"/>
  <c r="D7" i="1"/>
  <c r="K5" i="1"/>
  <c r="K4" i="1"/>
  <c r="K3" i="1"/>
  <c r="K2" i="1"/>
  <c r="G5" i="1"/>
  <c r="G4" i="1"/>
  <c r="G3" i="1"/>
  <c r="G2" i="1"/>
  <c r="K7" i="1"/>
  <c r="G7" i="1"/>
  <c r="C2" i="1"/>
  <c r="C3" i="1"/>
  <c r="C4" i="1"/>
  <c r="C5" i="1"/>
  <c r="C7" i="1"/>
  <c r="J9" i="1"/>
  <c r="J8" i="1"/>
  <c r="F9" i="1"/>
  <c r="F8" i="1"/>
  <c r="B9" i="1"/>
  <c r="B8" i="1"/>
</calcChain>
</file>

<file path=xl/sharedStrings.xml><?xml version="1.0" encoding="utf-8"?>
<sst xmlns="http://schemas.openxmlformats.org/spreadsheetml/2006/main" count="13" uniqueCount="9">
  <si>
    <t>N</t>
  </si>
  <si>
    <t>Mean</t>
  </si>
  <si>
    <t>S.D.</t>
  </si>
  <si>
    <t>H ln</t>
  </si>
  <si>
    <t>H log</t>
  </si>
  <si>
    <t>`</t>
  </si>
  <si>
    <t>Set 1</t>
  </si>
  <si>
    <t>Set 2</t>
  </si>
  <si>
    <t>Set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</si>
</sst>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4"/>
      <color theme="1"/>
      <name val="Times New Roman"/>
      <family val="2"/>
    </font>
    <font>
      <u/>
      <sz val="14"/>
      <color theme="10"/>
      <name val="Times New Roman"/>
      <family val="2"/>
    </font>
    <font>
      <u/>
      <sz val="14"/>
      <color theme="1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C14" sqref="C14"/>
    </sheetView>
  </sheetViews>
  <sheetFormatPr baseColWidth="10" defaultRowHeight="16" x14ac:dyDescent="0"/>
  <cols>
    <col min="5" max="5" width="8.5703125" customWidth="1"/>
    <col min="9" max="9" width="10.7109375" customWidth="1"/>
  </cols>
  <sheetData>
    <row r="1" spans="1:12">
      <c r="B1" t="s">
        <v>6</v>
      </c>
      <c r="F1" t="s">
        <v>7</v>
      </c>
      <c r="J1" t="s">
        <v>8</v>
      </c>
    </row>
    <row r="2" spans="1:12">
      <c r="A2">
        <v>1</v>
      </c>
      <c r="B2">
        <v>29</v>
      </c>
      <c r="C2">
        <f>(B2/$B$7)*LN(B2/$B$7)</f>
        <v>-0.34066477427798664</v>
      </c>
      <c r="D2">
        <f>B2/B$7*LOG(B2/B$7)</f>
        <v>-0.14794883164774647</v>
      </c>
      <c r="F2">
        <v>37</v>
      </c>
      <c r="G2">
        <f>(F2/F$7)*LN(F2/F$7)</f>
        <v>-0.31730919790203965</v>
      </c>
      <c r="H2">
        <f>F2/F$7*LOG(F2/F$7)</f>
        <v>-0.13780563370600271</v>
      </c>
      <c r="J2">
        <v>70</v>
      </c>
      <c r="K2">
        <f>(J2/J$7)*LN(J2/J$7)</f>
        <v>-0.36635756312957724</v>
      </c>
      <c r="L2">
        <f>J2/J$7*LOG(J2/J$7)</f>
        <v>-0.1591070680706976</v>
      </c>
    </row>
    <row r="3" spans="1:12">
      <c r="A3">
        <v>2</v>
      </c>
      <c r="B3">
        <v>27</v>
      </c>
      <c r="C3">
        <f>(B3/$B$7)*LN(B3/$B$7)</f>
        <v>-0.33285676595884867</v>
      </c>
      <c r="D3">
        <f>B3/B$7*LOG(B3/B$7)</f>
        <v>-0.14455785672009014</v>
      </c>
      <c r="F3">
        <v>33</v>
      </c>
      <c r="G3">
        <f>(F3/F$7)*LN(F3/F$7)</f>
        <v>-0.30266977994022365</v>
      </c>
      <c r="H3">
        <f>F3/F$7*LOG(F3/F$7)</f>
        <v>-0.13144781526691068</v>
      </c>
      <c r="J3">
        <v>47</v>
      </c>
      <c r="K3">
        <f>(J3/J$7)*LN(J3/J$7)</f>
        <v>-0.33556350508121224</v>
      </c>
      <c r="L3">
        <f>J3/J$7*LOG(J3/J$7)</f>
        <v>-0.14573337858488428</v>
      </c>
    </row>
    <row r="4" spans="1:12">
      <c r="A4">
        <v>3</v>
      </c>
      <c r="B4">
        <v>27</v>
      </c>
      <c r="C4">
        <f>(B4/$B$7)*LN(B4/$B$7)</f>
        <v>-0.33285676595884867</v>
      </c>
      <c r="D4">
        <f>B4/B$7*LOG(B4/B$7)</f>
        <v>-0.14455785672009014</v>
      </c>
      <c r="F4">
        <v>53</v>
      </c>
      <c r="G4">
        <f>(F4/F$7)*LN(F4/F$7)</f>
        <v>-0.3553217880167186</v>
      </c>
      <c r="H4">
        <f>F4/F$7*LOG(F4/F$7)</f>
        <v>-0.15431429183565787</v>
      </c>
      <c r="J4">
        <v>54</v>
      </c>
      <c r="K4">
        <f>(J4/J$7)*LN(J4/J$7)</f>
        <v>-0.34966943106042575</v>
      </c>
      <c r="L4">
        <f>J4/J$7*LOG(J4/J$7)</f>
        <v>-0.15185950439979243</v>
      </c>
    </row>
    <row r="5" spans="1:12">
      <c r="A5">
        <v>4</v>
      </c>
      <c r="B5">
        <v>40</v>
      </c>
      <c r="C5">
        <f>(B5/$B$7)*LN(B5/$B$7)</f>
        <v>-0.36530240691332722</v>
      </c>
      <c r="D5">
        <f>B5/B$7*LOG(B5/B$7)</f>
        <v>-0.15864881954843432</v>
      </c>
      <c r="F5">
        <v>69</v>
      </c>
      <c r="G5">
        <f>(F5/F$7)*LN(F5/F$7)</f>
        <v>-0.36778037423284393</v>
      </c>
      <c r="H5">
        <f>F5/F$7*LOG(F5/F$7)</f>
        <v>-0.15972498708163702</v>
      </c>
      <c r="J5">
        <v>38</v>
      </c>
      <c r="K5">
        <f>(J5/J$7)*LN(J5/J$7)</f>
        <v>-0.30995419858880463</v>
      </c>
      <c r="L5">
        <f>J5/J$7*LOG(J5/J$7)</f>
        <v>-0.13461139808986253</v>
      </c>
    </row>
    <row r="7" spans="1:12">
      <c r="A7" t="s">
        <v>0</v>
      </c>
      <c r="B7">
        <f>SUM(B2:B5)</f>
        <v>123</v>
      </c>
      <c r="C7">
        <f>-SUM(C2:C5)</f>
        <v>1.3716807131090112</v>
      </c>
      <c r="D7">
        <f>-SUM(D2:D5)</f>
        <v>0.59571336463636104</v>
      </c>
      <c r="F7">
        <f>SUM(F2:F5)</f>
        <v>192</v>
      </c>
      <c r="G7">
        <f>-SUM(G2:G5)</f>
        <v>1.3430811400918259</v>
      </c>
      <c r="H7">
        <f>-SUM(H2:H5)</f>
        <v>0.58329272789020825</v>
      </c>
      <c r="J7">
        <f>SUM(J2:J5)</f>
        <v>209</v>
      </c>
      <c r="K7">
        <f>-SUM(K2:K5)</f>
        <v>1.3615446978600199</v>
      </c>
      <c r="L7">
        <f>-SUM(L2:L5)</f>
        <v>0.59131134914523686</v>
      </c>
    </row>
    <row r="8" spans="1:12">
      <c r="A8" t="s">
        <v>1</v>
      </c>
      <c r="B8">
        <f>AVERAGE(B2:B5)</f>
        <v>30.75</v>
      </c>
      <c r="C8" t="s">
        <v>3</v>
      </c>
      <c r="D8" t="s">
        <v>4</v>
      </c>
      <c r="E8" t="s">
        <v>5</v>
      </c>
      <c r="F8">
        <f>AVERAGE(F2:F5)</f>
        <v>48</v>
      </c>
      <c r="G8" t="s">
        <v>3</v>
      </c>
      <c r="H8" t="s">
        <v>4</v>
      </c>
      <c r="J8">
        <f>AVERAGE(J2:J5)</f>
        <v>52.25</v>
      </c>
      <c r="K8" t="s">
        <v>3</v>
      </c>
      <c r="L8" t="s">
        <v>4</v>
      </c>
    </row>
    <row r="9" spans="1:12">
      <c r="A9" t="s">
        <v>2</v>
      </c>
      <c r="B9">
        <f>_xlfn.STDEV.S(B2:B5)</f>
        <v>6.2383224240709669</v>
      </c>
      <c r="F9">
        <f>_xlfn.STDEV.S(F2:F5)</f>
        <v>16.451950239004088</v>
      </c>
      <c r="J9">
        <f>_xlfn.STDEV.S(J2:J5)</f>
        <v>13.524668819112232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Southeast Missouri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 Taylor</dc:creator>
  <cp:lastModifiedBy>Michael S Taylor</cp:lastModifiedBy>
  <dcterms:created xsi:type="dcterms:W3CDTF">2017-04-11T16:14:34Z</dcterms:created>
  <dcterms:modified xsi:type="dcterms:W3CDTF">2017-04-11T22:48:54Z</dcterms:modified>
</cp:coreProperties>
</file>