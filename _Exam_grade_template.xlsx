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mtaylor/Documents/teach/exams/"/>
    </mc:Choice>
  </mc:AlternateContent>
  <xr:revisionPtr revIDLastSave="0" documentId="13_ncr:1_{AD857927-EE86-1B42-90D9-98317EDF225E}" xr6:coauthVersionLast="47" xr6:coauthVersionMax="47" xr10:uidLastSave="{00000000-0000-0000-0000-000000000000}"/>
  <bookViews>
    <workbookView xWindow="0" yWindow="500" windowWidth="25600" windowHeight="1546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E11" i="1"/>
  <c r="E10" i="1"/>
  <c r="E9" i="1"/>
  <c r="E8" i="1"/>
  <c r="E7" i="1"/>
  <c r="F3" i="1"/>
  <c r="E4" i="1"/>
  <c r="E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E13" i="1" l="1"/>
  <c r="F13" i="1"/>
  <c r="E5" i="1" s="1"/>
</calcChain>
</file>

<file path=xl/sharedStrings.xml><?xml version="1.0" encoding="utf-8"?>
<sst xmlns="http://schemas.openxmlformats.org/spreadsheetml/2006/main" count="14" uniqueCount="12">
  <si>
    <t>A</t>
  </si>
  <si>
    <t>B</t>
  </si>
  <si>
    <t>C</t>
  </si>
  <si>
    <t>D</t>
  </si>
  <si>
    <t>F</t>
  </si>
  <si>
    <t>Raw</t>
  </si>
  <si>
    <t>Curve</t>
  </si>
  <si>
    <t>Mean</t>
  </si>
  <si>
    <t>Total</t>
  </si>
  <si>
    <t>Scale</t>
  </si>
  <si>
    <t>Std. Err.</t>
  </si>
  <si>
    <t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</si>
</sst>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theme="1"/>
      <name val="Times New Roman"/>
      <family val="2"/>
    </font>
    <font>
      <u/>
      <sz val="14"/>
      <color theme="10"/>
      <name val="Times New Roman"/>
      <family val="2"/>
    </font>
    <font>
      <u/>
      <sz val="14"/>
      <color theme="11"/>
      <name val="Times New Roman"/>
      <family val="2"/>
    </font>
    <font>
      <sz val="14"/>
      <color rgb="FF000000"/>
      <name val="Times New Roman"/>
      <family val="2"/>
    </font>
    <font>
      <b/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164" fontId="0" fillId="0" borderId="0" xfId="0" applyNumberFormat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077615298088"/>
          <c:y val="3.8122108847347097E-2"/>
          <c:w val="0.85026209223847005"/>
          <c:h val="0.86888632519797004"/>
        </c:manualLayout>
      </c:layout>
      <c:barChart>
        <c:barDir val="col"/>
        <c:grouping val="clustered"/>
        <c:varyColors val="0"/>
        <c:ser>
          <c:idx val="0"/>
          <c:order val="0"/>
          <c:tx>
            <c:v>Raw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Sheet1!$D$7:$D$11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Sheet1!$E$7:$E$11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B-C94D-A8E9-0D9E46344114}"/>
            </c:ext>
          </c:extLst>
        </c:ser>
        <c:ser>
          <c:idx val="1"/>
          <c:order val="1"/>
          <c:tx>
            <c:v>Curved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Sheet1!$F$7:$F$11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3B-C94D-A8E9-0D9E46344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97876608"/>
        <c:axId val="-1297874288"/>
      </c:barChart>
      <c:catAx>
        <c:axId val="-1297876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1297874288"/>
        <c:crosses val="autoZero"/>
        <c:auto val="1"/>
        <c:lblAlgn val="ctr"/>
        <c:lblOffset val="100"/>
        <c:noMultiLvlLbl val="0"/>
      </c:catAx>
      <c:valAx>
        <c:axId val="-1297874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129787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889457567804"/>
          <c:y val="9.2208734324876002E-2"/>
          <c:w val="0.15930461192351"/>
          <c:h val="0.12801424715224999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44450</xdr:rowOff>
    </xdr:from>
    <xdr:to>
      <xdr:col>11</xdr:col>
      <xdr:colOff>660400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tabSelected="1" workbookViewId="0">
      <selection activeCell="B8" sqref="B8"/>
    </sheetView>
  </sheetViews>
  <sheetFormatPr baseColWidth="10" defaultRowHeight="18" x14ac:dyDescent="0.2"/>
  <sheetData>
    <row r="1" spans="1:8" x14ac:dyDescent="0.2">
      <c r="A1" s="3" t="s">
        <v>5</v>
      </c>
      <c r="B1" s="3" t="s">
        <v>6</v>
      </c>
      <c r="C1">
        <v>0</v>
      </c>
    </row>
    <row r="2" spans="1:8" x14ac:dyDescent="0.2">
      <c r="B2" s="2">
        <f t="shared" ref="B2:B33" si="0">A2+$C$1</f>
        <v>0</v>
      </c>
      <c r="E2" s="3" t="s">
        <v>5</v>
      </c>
      <c r="F2" s="3" t="s">
        <v>6</v>
      </c>
      <c r="H2" t="s">
        <v>9</v>
      </c>
    </row>
    <row r="3" spans="1:8" x14ac:dyDescent="0.2">
      <c r="B3" s="1">
        <f t="shared" si="0"/>
        <v>0</v>
      </c>
      <c r="D3" s="3" t="s">
        <v>7</v>
      </c>
      <c r="E3" s="5" t="e">
        <f>AVERAGE(A2:A41)</f>
        <v>#DIV/0!</v>
      </c>
      <c r="F3" s="5">
        <f>AVERAGE(B2:B41)</f>
        <v>0</v>
      </c>
      <c r="H3">
        <v>90</v>
      </c>
    </row>
    <row r="4" spans="1:8" x14ac:dyDescent="0.2">
      <c r="B4" s="1">
        <f t="shared" si="0"/>
        <v>0</v>
      </c>
      <c r="D4" s="3" t="s">
        <v>11</v>
      </c>
      <c r="E4" s="5" t="e">
        <f>_xlfn.STDEV.S(A2:A41)</f>
        <v>#DIV/0!</v>
      </c>
      <c r="F4" s="5"/>
      <c r="H4">
        <v>80</v>
      </c>
    </row>
    <row r="5" spans="1:8" x14ac:dyDescent="0.2">
      <c r="B5" s="1">
        <f t="shared" si="0"/>
        <v>0</v>
      </c>
      <c r="D5" s="3" t="s">
        <v>10</v>
      </c>
      <c r="E5" s="5" t="e">
        <f>E4/SQRT(F13)</f>
        <v>#DIV/0!</v>
      </c>
      <c r="F5" s="5"/>
      <c r="H5">
        <v>70</v>
      </c>
    </row>
    <row r="6" spans="1:8" x14ac:dyDescent="0.2">
      <c r="B6" s="1">
        <f t="shared" si="0"/>
        <v>0</v>
      </c>
      <c r="D6" s="4"/>
      <c r="H6">
        <v>60</v>
      </c>
    </row>
    <row r="7" spans="1:8" x14ac:dyDescent="0.2">
      <c r="B7" s="1">
        <f t="shared" si="0"/>
        <v>0</v>
      </c>
      <c r="D7" s="3" t="s">
        <v>0</v>
      </c>
      <c r="E7">
        <f>COUNTIFS(A2:A41,"&gt;="&amp;$H$3)</f>
        <v>0</v>
      </c>
      <c r="F7">
        <f>COUNTIFS(B2:B41,"&gt;="&amp;$H$3)</f>
        <v>0</v>
      </c>
    </row>
    <row r="8" spans="1:8" x14ac:dyDescent="0.2">
      <c r="B8" s="1">
        <f t="shared" si="0"/>
        <v>0</v>
      </c>
      <c r="D8" s="3" t="s">
        <v>1</v>
      </c>
      <c r="E8">
        <f>COUNTIFS(A2:A41,"&gt;="&amp;$H$4,A2:A41,"&lt;"&amp;$H$3)</f>
        <v>0</v>
      </c>
      <c r="F8">
        <f>COUNTIFS(B2:B41,"&gt;="&amp;$H$4,B2:B41,"&lt;"&amp;$H$3)</f>
        <v>0</v>
      </c>
    </row>
    <row r="9" spans="1:8" x14ac:dyDescent="0.2">
      <c r="B9" s="1">
        <f t="shared" si="0"/>
        <v>0</v>
      </c>
      <c r="D9" s="3" t="s">
        <v>2</v>
      </c>
      <c r="E9">
        <f>COUNTIFS(A2:A41,"&gt;="&amp;$H5,A2:A41,"&lt;"&amp;$H4)</f>
        <v>0</v>
      </c>
      <c r="F9">
        <f>COUNTIFS(B2:B41,"&gt;="&amp;$H5,B2:B41,"&lt;"&amp;$H4)</f>
        <v>0</v>
      </c>
    </row>
    <row r="10" spans="1:8" x14ac:dyDescent="0.2">
      <c r="B10" s="1">
        <f t="shared" si="0"/>
        <v>0</v>
      </c>
      <c r="D10" s="3" t="s">
        <v>3</v>
      </c>
      <c r="E10">
        <f>COUNTIFS(A2:A41,"&gt;="&amp;$H6,A2:A41,"&lt;"&amp;$H5)</f>
        <v>0</v>
      </c>
      <c r="F10">
        <f>COUNTIFS(B2:B41,"&gt;="&amp;$H6,B2:B41,"&lt;"&amp;$H5)</f>
        <v>0</v>
      </c>
    </row>
    <row r="11" spans="1:8" x14ac:dyDescent="0.2">
      <c r="B11" s="1">
        <f t="shared" si="0"/>
        <v>0</v>
      </c>
      <c r="D11" s="3" t="s">
        <v>4</v>
      </c>
      <c r="E11">
        <f>COUNTIFS(A2:A41,"&lt;"&amp;$H6)</f>
        <v>0</v>
      </c>
      <c r="F11">
        <f>COUNTIFS(B2:B41,"&lt;"&amp;$H6)</f>
        <v>40</v>
      </c>
    </row>
    <row r="12" spans="1:8" x14ac:dyDescent="0.2">
      <c r="B12" s="1">
        <f t="shared" si="0"/>
        <v>0</v>
      </c>
      <c r="D12" s="3"/>
    </row>
    <row r="13" spans="1:8" x14ac:dyDescent="0.2">
      <c r="B13" s="1">
        <f t="shared" si="0"/>
        <v>0</v>
      </c>
      <c r="D13" s="3" t="s">
        <v>8</v>
      </c>
      <c r="E13">
        <f>SUM(E7:E11)</f>
        <v>0</v>
      </c>
      <c r="F13">
        <f>SUM(F7:F11)</f>
        <v>40</v>
      </c>
    </row>
    <row r="14" spans="1:8" x14ac:dyDescent="0.2">
      <c r="B14" s="1">
        <f t="shared" si="0"/>
        <v>0</v>
      </c>
    </row>
    <row r="15" spans="1:8" x14ac:dyDescent="0.2">
      <c r="B15" s="1">
        <f t="shared" si="0"/>
        <v>0</v>
      </c>
    </row>
    <row r="16" spans="1:8" x14ac:dyDescent="0.2">
      <c r="B16" s="1">
        <f t="shared" si="0"/>
        <v>0</v>
      </c>
    </row>
    <row r="17" spans="2:2" x14ac:dyDescent="0.2">
      <c r="B17" s="1">
        <f t="shared" si="0"/>
        <v>0</v>
      </c>
    </row>
    <row r="18" spans="2:2" x14ac:dyDescent="0.2">
      <c r="B18" s="1">
        <f t="shared" si="0"/>
        <v>0</v>
      </c>
    </row>
    <row r="19" spans="2:2" x14ac:dyDescent="0.2">
      <c r="B19" s="1">
        <f t="shared" si="0"/>
        <v>0</v>
      </c>
    </row>
    <row r="20" spans="2:2" x14ac:dyDescent="0.2">
      <c r="B20" s="1">
        <f t="shared" si="0"/>
        <v>0</v>
      </c>
    </row>
    <row r="21" spans="2:2" x14ac:dyDescent="0.2">
      <c r="B21" s="1">
        <f t="shared" si="0"/>
        <v>0</v>
      </c>
    </row>
    <row r="22" spans="2:2" x14ac:dyDescent="0.2">
      <c r="B22" s="1">
        <f t="shared" si="0"/>
        <v>0</v>
      </c>
    </row>
    <row r="23" spans="2:2" x14ac:dyDescent="0.2">
      <c r="B23" s="1">
        <f t="shared" si="0"/>
        <v>0</v>
      </c>
    </row>
    <row r="24" spans="2:2" x14ac:dyDescent="0.2">
      <c r="B24" s="1">
        <f t="shared" si="0"/>
        <v>0</v>
      </c>
    </row>
    <row r="25" spans="2:2" x14ac:dyDescent="0.2">
      <c r="B25" s="1">
        <f t="shared" si="0"/>
        <v>0</v>
      </c>
    </row>
    <row r="26" spans="2:2" x14ac:dyDescent="0.2">
      <c r="B26" s="1">
        <f t="shared" si="0"/>
        <v>0</v>
      </c>
    </row>
    <row r="27" spans="2:2" x14ac:dyDescent="0.2">
      <c r="B27" s="1">
        <f t="shared" si="0"/>
        <v>0</v>
      </c>
    </row>
    <row r="28" spans="2:2" x14ac:dyDescent="0.2">
      <c r="B28" s="1">
        <f t="shared" si="0"/>
        <v>0</v>
      </c>
    </row>
    <row r="29" spans="2:2" x14ac:dyDescent="0.2">
      <c r="B29" s="1">
        <f t="shared" si="0"/>
        <v>0</v>
      </c>
    </row>
    <row r="30" spans="2:2" x14ac:dyDescent="0.2">
      <c r="B30" s="1">
        <f t="shared" si="0"/>
        <v>0</v>
      </c>
    </row>
    <row r="31" spans="2:2" x14ac:dyDescent="0.2">
      <c r="B31" s="1">
        <f t="shared" si="0"/>
        <v>0</v>
      </c>
    </row>
    <row r="32" spans="2:2" x14ac:dyDescent="0.2">
      <c r="B32" s="1">
        <f t="shared" si="0"/>
        <v>0</v>
      </c>
    </row>
    <row r="33" spans="2:2" x14ac:dyDescent="0.2">
      <c r="B33" s="1">
        <f t="shared" si="0"/>
        <v>0</v>
      </c>
    </row>
    <row r="34" spans="2:2" x14ac:dyDescent="0.2">
      <c r="B34" s="1">
        <f t="shared" ref="B34:B65" si="1">A34+$C$1</f>
        <v>0</v>
      </c>
    </row>
    <row r="35" spans="2:2" x14ac:dyDescent="0.2">
      <c r="B35" s="1">
        <f t="shared" si="1"/>
        <v>0</v>
      </c>
    </row>
    <row r="36" spans="2:2" x14ac:dyDescent="0.2">
      <c r="B36" s="1">
        <f t="shared" si="1"/>
        <v>0</v>
      </c>
    </row>
    <row r="37" spans="2:2" x14ac:dyDescent="0.2">
      <c r="B37" s="1">
        <f t="shared" si="1"/>
        <v>0</v>
      </c>
    </row>
    <row r="38" spans="2:2" x14ac:dyDescent="0.2">
      <c r="B38" s="1">
        <f t="shared" si="1"/>
        <v>0</v>
      </c>
    </row>
    <row r="39" spans="2:2" x14ac:dyDescent="0.2">
      <c r="B39" s="1">
        <f t="shared" si="1"/>
        <v>0</v>
      </c>
    </row>
    <row r="40" spans="2:2" x14ac:dyDescent="0.2">
      <c r="B40" s="1">
        <f t="shared" si="1"/>
        <v>0</v>
      </c>
    </row>
    <row r="41" spans="2:2" x14ac:dyDescent="0.2">
      <c r="B41" s="1">
        <f t="shared" si="1"/>
        <v>0</v>
      </c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</sheetData>
  <sortState xmlns:xlrd2="http://schemas.microsoft.com/office/spreadsheetml/2017/richdata2" ref="A2:B165">
    <sortCondition descending="1" ref="A2:A165"/>
  </sortState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Southeast Missouri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 Taylor</dc:creator>
  <cp:lastModifiedBy>Taylor, Michael S</cp:lastModifiedBy>
  <dcterms:created xsi:type="dcterms:W3CDTF">2014-03-10T13:49:26Z</dcterms:created>
  <dcterms:modified xsi:type="dcterms:W3CDTF">2023-11-11T21:25:07Z</dcterms:modified>
</cp:coreProperties>
</file>